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t-my.sharepoint.com/personal/fabio_baptista_engdb_com_br1/Documents/Clientes/Vivo/POC e-commerce/"/>
    </mc:Choice>
  </mc:AlternateContent>
  <xr:revisionPtr revIDLastSave="50" documentId="8_{3BE955C2-8285-426F-9C97-51123DFCBA47}" xr6:coauthVersionLast="47" xr6:coauthVersionMax="47" xr10:uidLastSave="{EE1A9102-0441-4646-9431-80FBB43E7828}"/>
  <bookViews>
    <workbookView xWindow="-110" yWindow="-110" windowWidth="19420" windowHeight="10300" xr2:uid="{36A00083-4A83-4213-872A-6C01D1CC6974}"/>
  </bookViews>
  <sheets>
    <sheet name="FC" sheetId="5" r:id="rId1"/>
  </sheets>
  <externalReferences>
    <externalReference r:id="rId2"/>
  </externalReferences>
  <definedNames>
    <definedName name="Inad">[1]PARÂMETROS!$C$19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E25" i="5"/>
  <c r="F25" i="5"/>
  <c r="G25" i="5"/>
  <c r="H25" i="5"/>
  <c r="I25" i="5"/>
  <c r="C25" i="5"/>
  <c r="C26" i="5" s="1"/>
  <c r="C29" i="5" s="1"/>
  <c r="B17" i="5"/>
  <c r="D27" i="5" s="1"/>
  <c r="D38" i="5"/>
  <c r="E38" i="5"/>
  <c r="F38" i="5"/>
  <c r="G38" i="5"/>
  <c r="H38" i="5"/>
  <c r="I38" i="5"/>
  <c r="C38" i="5"/>
  <c r="C27" i="5"/>
  <c r="D24" i="5"/>
  <c r="E22" i="5"/>
  <c r="E24" i="5" s="1"/>
  <c r="D26" i="5" l="1"/>
  <c r="D28" i="5" s="1"/>
  <c r="D33" i="5" s="1"/>
  <c r="D34" i="5" s="1"/>
  <c r="C28" i="5"/>
  <c r="C30" i="5" s="1"/>
  <c r="C31" i="5" s="1"/>
  <c r="E26" i="5"/>
  <c r="E29" i="5" s="1"/>
  <c r="E27" i="5"/>
  <c r="F22" i="5"/>
  <c r="F27" i="5" s="1"/>
  <c r="D29" i="5" l="1"/>
  <c r="D30" i="5" s="1"/>
  <c r="D31" i="5" s="1"/>
  <c r="D35" i="5"/>
  <c r="D37" i="5"/>
  <c r="D39" i="5" s="1"/>
  <c r="C33" i="5"/>
  <c r="C34" i="5" s="1"/>
  <c r="E28" i="5"/>
  <c r="E30" i="5" s="1"/>
  <c r="E31" i="5" s="1"/>
  <c r="F24" i="5"/>
  <c r="G22" i="5"/>
  <c r="G27" i="5" s="1"/>
  <c r="C35" i="5" l="1"/>
  <c r="C37" i="5"/>
  <c r="E33" i="5"/>
  <c r="E34" i="5" s="1"/>
  <c r="F26" i="5"/>
  <c r="H22" i="5"/>
  <c r="H27" i="5" s="1"/>
  <c r="G24" i="5"/>
  <c r="F28" i="5" l="1"/>
  <c r="F33" i="5" s="1"/>
  <c r="F34" i="5" s="1"/>
  <c r="F29" i="5"/>
  <c r="E35" i="5"/>
  <c r="E37" i="5"/>
  <c r="E39" i="5" s="1"/>
  <c r="C39" i="5"/>
  <c r="G26" i="5"/>
  <c r="I22" i="5"/>
  <c r="H24" i="5"/>
  <c r="G28" i="5" l="1"/>
  <c r="G33" i="5" s="1"/>
  <c r="G34" i="5" s="1"/>
  <c r="G29" i="5"/>
  <c r="F30" i="5"/>
  <c r="F31" i="5" s="1"/>
  <c r="F35" i="5"/>
  <c r="F37" i="5"/>
  <c r="F39" i="5" s="1"/>
  <c r="H26" i="5"/>
  <c r="I24" i="5"/>
  <c r="I27" i="5"/>
  <c r="G30" i="5" l="1"/>
  <c r="G31" i="5" s="1"/>
  <c r="H28" i="5"/>
  <c r="H33" i="5" s="1"/>
  <c r="H34" i="5" s="1"/>
  <c r="H29" i="5"/>
  <c r="G35" i="5"/>
  <c r="G37" i="5"/>
  <c r="I26" i="5"/>
  <c r="G39" i="5" l="1"/>
  <c r="I28" i="5"/>
  <c r="I33" i="5" s="1"/>
  <c r="I34" i="5" s="1"/>
  <c r="B19" i="5" s="1"/>
  <c r="I29" i="5"/>
  <c r="H30" i="5"/>
  <c r="H31" i="5" s="1"/>
  <c r="H35" i="5"/>
  <c r="H37" i="5"/>
  <c r="H39" i="5" l="1"/>
  <c r="I30" i="5"/>
  <c r="I31" i="5" s="1"/>
  <c r="I35" i="5"/>
  <c r="B8" i="5" s="1"/>
  <c r="I37" i="5"/>
  <c r="I39" i="5" s="1"/>
  <c r="B7" i="5" l="1"/>
  <c r="B10" i="5"/>
  <c r="B11" i="5" s="1"/>
</calcChain>
</file>

<file path=xl/sharedStrings.xml><?xml version="1.0" encoding="utf-8"?>
<sst xmlns="http://schemas.openxmlformats.org/spreadsheetml/2006/main" count="49" uniqueCount="42">
  <si>
    <t>Inflação Média Anual</t>
  </si>
  <si>
    <t>Custo de Capital Real - ano</t>
  </si>
  <si>
    <t>Custo de Capital Real - mês</t>
  </si>
  <si>
    <t>Prazo Depreciação</t>
  </si>
  <si>
    <t>Contrato</t>
  </si>
  <si>
    <t>Margem Líquida</t>
  </si>
  <si>
    <t>Payback</t>
  </si>
  <si>
    <t>VPL R$ - Acumulado em 60 Meses</t>
  </si>
  <si>
    <t>TIR mensal</t>
  </si>
  <si>
    <t>TIR anual</t>
  </si>
  <si>
    <t>Margem EBITDA</t>
  </si>
  <si>
    <t>Receitas Brutas</t>
  </si>
  <si>
    <t>PRV</t>
  </si>
  <si>
    <t>Inadimplência</t>
  </si>
  <si>
    <t>taxa acumulada</t>
  </si>
  <si>
    <t>Receita bruta</t>
  </si>
  <si>
    <t>Imposto</t>
  </si>
  <si>
    <t>Custo</t>
  </si>
  <si>
    <t>Impostos</t>
  </si>
  <si>
    <t>Mês 1</t>
  </si>
  <si>
    <t>Mês 3</t>
  </si>
  <si>
    <t>Mês 4</t>
  </si>
  <si>
    <t>Mês 5</t>
  </si>
  <si>
    <t>Mês 6</t>
  </si>
  <si>
    <t>Mês 2</t>
  </si>
  <si>
    <t>Receita líquida</t>
  </si>
  <si>
    <t>Fluxo de Caixa</t>
  </si>
  <si>
    <t>VPL Mensal</t>
  </si>
  <si>
    <t>Mês 0</t>
  </si>
  <si>
    <t>Margem Direta</t>
  </si>
  <si>
    <t>IR/CSLL</t>
  </si>
  <si>
    <t>Lucro Líquido</t>
  </si>
  <si>
    <t>Margem líquida</t>
  </si>
  <si>
    <t>output</t>
  </si>
  <si>
    <t>Margem Ebitda</t>
  </si>
  <si>
    <t>Ebitda</t>
  </si>
  <si>
    <t>Depreciação total</t>
  </si>
  <si>
    <t>input</t>
  </si>
  <si>
    <t>Custo do produto</t>
  </si>
  <si>
    <t>Rateio</t>
  </si>
  <si>
    <t>Lucro líquido</t>
  </si>
  <si>
    <t>modelo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</si>
</sst>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%"/>
    <numFmt numFmtId="167" formatCode="_(&quot;R$ &quot;* #,##0.00_);_(&quot;R$ &quot;* \(#,##0.00\);_(&quot;R$ &quot;* &quot;-&quot;??_);_(@_)"/>
    <numFmt numFmtId="168" formatCode="_-&quot;R$&quot;* #,##0.00_-;\-&quot;R$&quot;* #,##0.00_-;_-&quot;R$&quot;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62"/>
      <name val="Tahoma"/>
      <family val="2"/>
    </font>
    <font>
      <b/>
      <sz val="12"/>
      <color indexed="62"/>
      <name val="Tahoma"/>
      <family val="2"/>
    </font>
    <font>
      <b/>
      <sz val="11"/>
      <color indexed="62"/>
      <name val="Tahoma"/>
      <family val="2"/>
    </font>
    <font>
      <sz val="8"/>
      <name val="Aptos Narrow"/>
      <family val="2"/>
      <scheme val="minor"/>
    </font>
    <font>
      <b/>
      <sz val="10"/>
      <color theme="4" tint="-0.499984740745262"/>
      <name val="Tahoma"/>
      <family val="2"/>
    </font>
    <font>
      <sz val="11"/>
      <color theme="4" tint="-0.499984740745262"/>
      <name val="Tahoma"/>
      <family val="2"/>
    </font>
    <font>
      <sz val="10"/>
      <color theme="4" tint="-0.499984740745262"/>
      <name val="Tahoma"/>
      <family val="2"/>
    </font>
    <font>
      <b/>
      <sz val="12"/>
      <color theme="4" tint="-0.499984740745262"/>
      <name val="Tahoma"/>
      <family val="2"/>
    </font>
    <font>
      <b/>
      <sz val="12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10" fontId="4" fillId="3" borderId="2" xfId="6" applyNumberFormat="1" applyFont="1" applyFill="1" applyBorder="1" applyAlignment="1">
      <alignment horizontal="right" vertical="center"/>
    </xf>
    <xf numFmtId="10" fontId="4" fillId="3" borderId="1" xfId="6" applyNumberFormat="1" applyFont="1" applyFill="1" applyBorder="1" applyAlignment="1">
      <alignment vertical="center"/>
    </xf>
    <xf numFmtId="166" fontId="4" fillId="3" borderId="1" xfId="6" applyNumberFormat="1" applyFont="1" applyFill="1" applyBorder="1" applyAlignment="1">
      <alignment vertical="center"/>
    </xf>
    <xf numFmtId="10" fontId="4" fillId="3" borderId="3" xfId="6" applyNumberFormat="1" applyFont="1" applyFill="1" applyBorder="1" applyAlignment="1">
      <alignment horizontal="right" vertical="center"/>
    </xf>
    <xf numFmtId="165" fontId="3" fillId="3" borderId="1" xfId="5" applyNumberFormat="1" applyFont="1" applyFill="1" applyBorder="1" applyAlignment="1">
      <alignment vertical="center"/>
    </xf>
    <xf numFmtId="10" fontId="4" fillId="3" borderId="1" xfId="6" applyNumberFormat="1" applyFont="1" applyFill="1" applyBorder="1" applyAlignment="1">
      <alignment horizontal="right" vertical="center"/>
    </xf>
    <xf numFmtId="40" fontId="4" fillId="3" borderId="1" xfId="0" applyNumberFormat="1" applyFont="1" applyFill="1" applyBorder="1" applyAlignment="1">
      <alignment horizontal="left" vertical="center"/>
    </xf>
    <xf numFmtId="40" fontId="4" fillId="3" borderId="1" xfId="0" applyNumberFormat="1" applyFont="1" applyFill="1" applyBorder="1" applyAlignment="1">
      <alignment vertical="center"/>
    </xf>
    <xf numFmtId="38" fontId="5" fillId="3" borderId="1" xfId="0" applyNumberFormat="1" applyFont="1" applyFill="1" applyBorder="1" applyAlignment="1">
      <alignment vertical="center"/>
    </xf>
    <xf numFmtId="40" fontId="4" fillId="3" borderId="3" xfId="0" applyNumberFormat="1" applyFont="1" applyFill="1" applyBorder="1" applyAlignment="1">
      <alignment vertical="center"/>
    </xf>
    <xf numFmtId="40" fontId="4" fillId="3" borderId="0" xfId="0" applyNumberFormat="1" applyFont="1" applyFill="1" applyAlignment="1">
      <alignment vertical="center"/>
    </xf>
    <xf numFmtId="40" fontId="4" fillId="3" borderId="5" xfId="0" applyNumberFormat="1" applyFont="1" applyFill="1" applyBorder="1" applyAlignment="1">
      <alignment vertical="center"/>
    </xf>
    <xf numFmtId="167" fontId="4" fillId="2" borderId="1" xfId="7" applyFont="1" applyFill="1" applyBorder="1" applyAlignment="1">
      <alignment horizontal="center" vertical="center"/>
    </xf>
    <xf numFmtId="40" fontId="7" fillId="4" borderId="6" xfId="0" applyNumberFormat="1" applyFont="1" applyFill="1" applyBorder="1" applyAlignment="1">
      <alignment horizontal="left" vertical="center"/>
    </xf>
    <xf numFmtId="168" fontId="7" fillId="4" borderId="6" xfId="2" applyNumberFormat="1" applyFont="1" applyFill="1" applyBorder="1" applyAlignment="1">
      <alignment horizontal="center" vertical="center"/>
    </xf>
    <xf numFmtId="40" fontId="7" fillId="4" borderId="6" xfId="0" applyNumberFormat="1" applyFont="1" applyFill="1" applyBorder="1" applyAlignment="1">
      <alignment horizontal="right" vertical="center"/>
    </xf>
    <xf numFmtId="40" fontId="8" fillId="0" borderId="0" xfId="0" applyNumberFormat="1" applyFont="1" applyAlignment="1">
      <alignment horizontal="left" indent="1"/>
    </xf>
    <xf numFmtId="40" fontId="9" fillId="0" borderId="4" xfId="0" applyNumberFormat="1" applyFont="1" applyBorder="1"/>
    <xf numFmtId="40" fontId="9" fillId="0" borderId="0" xfId="0" applyNumberFormat="1" applyFont="1"/>
    <xf numFmtId="165" fontId="8" fillId="0" borderId="0" xfId="1" applyNumberFormat="1" applyFont="1" applyBorder="1" applyAlignment="1">
      <alignment horizontal="left" indent="1"/>
    </xf>
    <xf numFmtId="165" fontId="9" fillId="0" borderId="0" xfId="1" applyNumberFormat="1" applyFont="1" applyBorder="1"/>
    <xf numFmtId="165" fontId="9" fillId="0" borderId="0" xfId="1" applyNumberFormat="1" applyFont="1"/>
    <xf numFmtId="9" fontId="0" fillId="0" borderId="0" xfId="0" applyNumberFormat="1"/>
    <xf numFmtId="40" fontId="10" fillId="5" borderId="0" xfId="0" applyNumberFormat="1" applyFont="1" applyFill="1" applyAlignment="1">
      <alignment horizontal="left" vertical="center"/>
    </xf>
    <xf numFmtId="9" fontId="0" fillId="0" borderId="0" xfId="3" applyFont="1"/>
    <xf numFmtId="0" fontId="11" fillId="2" borderId="0" xfId="0" applyFont="1" applyFill="1"/>
    <xf numFmtId="44" fontId="11" fillId="2" borderId="0" xfId="2" applyFont="1" applyFill="1"/>
    <xf numFmtId="44" fontId="11" fillId="6" borderId="0" xfId="2" applyFont="1" applyFill="1"/>
    <xf numFmtId="44" fontId="5" fillId="3" borderId="1" xfId="2" applyFont="1" applyFill="1" applyBorder="1" applyAlignment="1">
      <alignment vertical="center"/>
    </xf>
    <xf numFmtId="43" fontId="4" fillId="3" borderId="3" xfId="1" applyFont="1" applyFill="1" applyBorder="1" applyAlignment="1">
      <alignment horizontal="right" vertical="center"/>
    </xf>
  </cellXfs>
  <cellStyles count="9">
    <cellStyle name="Moeda" xfId="2" builtinId="4"/>
    <cellStyle name="Moeda 2" xfId="7" xr:uid="{BE955803-CEAB-4EC9-8CC5-1F0429B96232}"/>
    <cellStyle name="Normal" xfId="0" builtinId="0"/>
    <cellStyle name="Normal 2" xfId="4" xr:uid="{9DEB1778-7A4A-4E23-B0AE-20CD52852540}"/>
    <cellStyle name="Normal 4" xfId="8" xr:uid="{233C1350-4791-4E18-BFA0-1314AF4A81C8}"/>
    <cellStyle name="Porcentagem" xfId="3" builtinId="5"/>
    <cellStyle name="Porcentagem 2" xfId="6" xr:uid="{ADB44EAA-C454-4673-BFE7-4076E1A3B94F}"/>
    <cellStyle name="Vírgula" xfId="1" builtinId="3"/>
    <cellStyle name="Vírgula 2" xfId="5" xr:uid="{3EFD1BE0-A93F-403D-B856-B685371C78EC}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git-my.sharepoint.com/personal/fabio_baptista_engdb_com_br1/Documents/Clientes/Vivo/POC%20e-commerce/PSOL_v250221.r0.xlsb" TargetMode="External"/><Relationship Id="rId1" Type="http://schemas.openxmlformats.org/officeDocument/2006/relationships/externalLinkPath" Target="PSOL_v250221.r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O Entregas"/>
      <sheetName val="Lista de Endereços"/>
      <sheetName val="SF - HW"/>
      <sheetName val="SF - SW"/>
      <sheetName val="SF - SV MENSAL"/>
      <sheetName val="SF - SV À VISTA"/>
      <sheetName val="OPEX CDT"/>
      <sheetName val="Instruções"/>
      <sheetName val="Estrutura da Planilha"/>
      <sheetName val="Controle"/>
      <sheetName val="Simulação PV"/>
      <sheetName val="Resumo OPEX"/>
      <sheetName val="Máscara Fornecedor"/>
      <sheetName val="Resumo CAPEX"/>
      <sheetName val="Ins+Mat Obra Civil"/>
      <sheetName val="Operação@TIS"/>
      <sheetName val="SGI TGS"/>
      <sheetName val="Precificador Hardware"/>
      <sheetName val="Precificador Software"/>
      <sheetName val="Precificador Serviços"/>
      <sheetName val="Tabela de Preços"/>
      <sheetName val="Tabela Fixa de Preços"/>
      <sheetName val="Tabela de Preços Sem IPI"/>
      <sheetName val="Tabela de Preços Agrupada"/>
      <sheetName val="Parâmetros da Proposta"/>
      <sheetName val="Proposta"/>
      <sheetName val="FC Hardware"/>
      <sheetName val="Resumo Anual Hardware"/>
      <sheetName val="FC Software"/>
      <sheetName val="Resumo Anual Software"/>
      <sheetName val="FC Serviços"/>
      <sheetName val="Resumo Anual Serviços"/>
      <sheetName val="FC Serviços TIS"/>
      <sheetName val="Resumo Anual Serviços TIS"/>
      <sheetName val="FC Rebate"/>
      <sheetName val="Resumo Anual UNIFICADO"/>
      <sheetName val="FC UNIFICADO"/>
      <sheetName val="RCTX"/>
      <sheetName val="FCTX"/>
      <sheetName val="OVERHEAD"/>
      <sheetName val="RA Comparativo"/>
      <sheetName val="RA STARLINK"/>
      <sheetName val="PARÂMETROS"/>
      <sheetName val="CdG"/>
      <sheetName val="Itens a Cadastrar"/>
      <sheetName val="TABELA 2025"/>
      <sheetName val="CF TIS"/>
      <sheetName val="INTERESTADUAL"/>
      <sheetName val="Conceitos Faturáveis"/>
      <sheetName val="Cruzamento CF"/>
      <sheetName val="LISTAS"/>
      <sheetName val="Consulta ao Tributário"/>
      <sheetName val="ServiceNow"/>
      <sheetName val="DIFAL por UF"/>
      <sheetName val="Controle de Versões"/>
      <sheetName val="CP x Margin"/>
      <sheetName val="CP x Markup"/>
      <sheetName val="N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9">
          <cell r="C19">
            <v>4.1799999999999997E-2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D277-2690-40BF-B4E0-A85BDB9E2025}">
  <dimension ref="A2:I39"/>
  <sheetViews>
    <sheetView tabSelected="1" zoomScale="85" zoomScaleNormal="85" workbookViewId="0">
      <selection activeCell="F4" sqref="F4"/>
    </sheetView>
  </sheetViews>
  <sheetFormatPr defaultRowHeight="14.5" x14ac:dyDescent="0.35"/>
  <cols>
    <col min="1" max="1" width="32.26953125" customWidth="1"/>
    <col min="2" max="2" width="23.81640625" customWidth="1"/>
    <col min="3" max="9" width="11" customWidth="1"/>
  </cols>
  <sheetData>
    <row r="2" spans="1:6" ht="15" x14ac:dyDescent="0.35">
      <c r="A2" s="7" t="s">
        <v>0</v>
      </c>
      <c r="B2" s="1">
        <v>0</v>
      </c>
    </row>
    <row r="3" spans="1:6" ht="15" x14ac:dyDescent="0.35">
      <c r="A3" s="8" t="s">
        <v>1</v>
      </c>
      <c r="B3" s="2">
        <v>0.184</v>
      </c>
      <c r="F3" t="s">
        <v>41</v>
      </c>
    </row>
    <row r="4" spans="1:6" ht="15" x14ac:dyDescent="0.35">
      <c r="A4" s="8" t="s">
        <v>2</v>
      </c>
      <c r="B4" s="3">
        <v>1.4174395484882085E-2</v>
      </c>
    </row>
    <row r="5" spans="1:6" ht="15" x14ac:dyDescent="0.35">
      <c r="A5" s="8" t="s">
        <v>3</v>
      </c>
      <c r="B5" s="9">
        <v>60</v>
      </c>
    </row>
    <row r="6" spans="1:6" ht="15" x14ac:dyDescent="0.35">
      <c r="A6" s="8" t="s">
        <v>4</v>
      </c>
      <c r="B6" s="9">
        <v>60</v>
      </c>
    </row>
    <row r="7" spans="1:6" ht="15" x14ac:dyDescent="0.35">
      <c r="A7" s="8" t="s">
        <v>7</v>
      </c>
      <c r="B7" s="29">
        <f>SUM(C39:I39)</f>
        <v>0</v>
      </c>
      <c r="C7" t="s">
        <v>33</v>
      </c>
    </row>
    <row r="8" spans="1:6" ht="15" x14ac:dyDescent="0.35">
      <c r="A8" s="10" t="s">
        <v>5</v>
      </c>
      <c r="B8" s="30">
        <f>SUM(C35:I35)*100</f>
        <v>0</v>
      </c>
      <c r="C8" t="s">
        <v>33</v>
      </c>
    </row>
    <row r="9" spans="1:6" ht="15" x14ac:dyDescent="0.35">
      <c r="A9" s="10" t="s">
        <v>6</v>
      </c>
      <c r="B9" s="5">
        <v>1</v>
      </c>
    </row>
    <row r="10" spans="1:6" ht="15" x14ac:dyDescent="0.35">
      <c r="A10" s="8" t="s">
        <v>8</v>
      </c>
      <c r="B10" s="4" t="str">
        <f>IFERROR(IRR(C37:I37,0.02),"0")</f>
        <v>0</v>
      </c>
    </row>
    <row r="11" spans="1:6" ht="15" x14ac:dyDescent="0.35">
      <c r="A11" s="8" t="s">
        <v>9</v>
      </c>
      <c r="B11" s="4">
        <f>IF(ISERROR((1+B10)^12-1),"-",((1+B10)^12-1))</f>
        <v>0</v>
      </c>
    </row>
    <row r="12" spans="1:6" ht="15" x14ac:dyDescent="0.35">
      <c r="A12" s="8" t="s">
        <v>10</v>
      </c>
      <c r="B12" s="6">
        <v>8.0440930904931554E-2</v>
      </c>
    </row>
    <row r="13" spans="1:6" ht="15" x14ac:dyDescent="0.35">
      <c r="A13" s="8" t="s">
        <v>11</v>
      </c>
      <c r="B13" s="13"/>
      <c r="C13" t="s">
        <v>37</v>
      </c>
    </row>
    <row r="14" spans="1:6" ht="15.5" x14ac:dyDescent="0.35">
      <c r="A14" s="12" t="s">
        <v>12</v>
      </c>
      <c r="B14" s="26"/>
      <c r="C14" t="s">
        <v>37</v>
      </c>
    </row>
    <row r="15" spans="1:6" ht="15.5" x14ac:dyDescent="0.35">
      <c r="A15" s="11" t="s">
        <v>38</v>
      </c>
      <c r="B15" s="27"/>
      <c r="C15" t="s">
        <v>37</v>
      </c>
    </row>
    <row r="16" spans="1:6" ht="15.5" x14ac:dyDescent="0.35">
      <c r="A16" s="11" t="s">
        <v>39</v>
      </c>
      <c r="B16" s="27"/>
      <c r="C16" t="s">
        <v>37</v>
      </c>
    </row>
    <row r="17" spans="1:9" ht="15.5" x14ac:dyDescent="0.35">
      <c r="A17" s="11" t="s">
        <v>17</v>
      </c>
      <c r="B17" s="28">
        <f>B15+B16</f>
        <v>0</v>
      </c>
    </row>
    <row r="18" spans="1:9" ht="15.5" x14ac:dyDescent="0.35">
      <c r="A18" s="11" t="s">
        <v>16</v>
      </c>
      <c r="B18" s="27"/>
      <c r="C18" t="s">
        <v>37</v>
      </c>
    </row>
    <row r="19" spans="1:9" ht="15.5" x14ac:dyDescent="0.35">
      <c r="A19" s="11" t="s">
        <v>40</v>
      </c>
      <c r="B19" s="28">
        <f>SUM(C34:I34)</f>
        <v>0</v>
      </c>
      <c r="C19" t="s">
        <v>33</v>
      </c>
    </row>
    <row r="21" spans="1:9" x14ac:dyDescent="0.35">
      <c r="C21">
        <v>0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</row>
    <row r="22" spans="1:9" x14ac:dyDescent="0.35">
      <c r="C22">
        <v>0</v>
      </c>
      <c r="D22">
        <v>30</v>
      </c>
      <c r="E22">
        <f>D22+30</f>
        <v>60</v>
      </c>
      <c r="F22">
        <f t="shared" ref="F22:I22" si="0">E22+30</f>
        <v>90</v>
      </c>
      <c r="G22">
        <f t="shared" si="0"/>
        <v>120</v>
      </c>
      <c r="H22">
        <f t="shared" si="0"/>
        <v>150</v>
      </c>
      <c r="I22">
        <f t="shared" si="0"/>
        <v>180</v>
      </c>
    </row>
    <row r="23" spans="1:9" x14ac:dyDescent="0.35">
      <c r="C23" t="s">
        <v>28</v>
      </c>
      <c r="D23" t="s">
        <v>19</v>
      </c>
      <c r="E23" t="s">
        <v>24</v>
      </c>
      <c r="F23" t="s">
        <v>20</v>
      </c>
      <c r="G23" t="s">
        <v>21</v>
      </c>
      <c r="H23" t="s">
        <v>22</v>
      </c>
      <c r="I23" t="s">
        <v>23</v>
      </c>
    </row>
    <row r="24" spans="1:9" ht="15" x14ac:dyDescent="0.35">
      <c r="A24" s="11" t="s">
        <v>15</v>
      </c>
      <c r="D24">
        <f t="shared" ref="D24:I24" si="1">IF(AND($B$14&lt;=D22,$B$14&gt;C22),$B$13,0)</f>
        <v>0</v>
      </c>
      <c r="E24">
        <f t="shared" si="1"/>
        <v>0</v>
      </c>
      <c r="F24">
        <f t="shared" si="1"/>
        <v>0</v>
      </c>
      <c r="G24">
        <f t="shared" si="1"/>
        <v>0</v>
      </c>
      <c r="H24">
        <f t="shared" si="1"/>
        <v>0</v>
      </c>
      <c r="I24">
        <f t="shared" si="1"/>
        <v>0</v>
      </c>
    </row>
    <row r="25" spans="1:9" ht="15" x14ac:dyDescent="0.35">
      <c r="A25" s="11" t="s">
        <v>18</v>
      </c>
      <c r="B25" s="23"/>
      <c r="C25">
        <f>-IF(AND($B$14&lt;=C22,$B$14&gt;B22),$B$18,0)</f>
        <v>0</v>
      </c>
      <c r="D25">
        <f t="shared" ref="D25:I25" si="2">-IF(AND($B$14&lt;=D22,$B$14&gt;C22),$B$18,0)</f>
        <v>0</v>
      </c>
      <c r="E25">
        <f t="shared" si="2"/>
        <v>0</v>
      </c>
      <c r="F25">
        <f t="shared" si="2"/>
        <v>0</v>
      </c>
      <c r="G25">
        <f t="shared" si="2"/>
        <v>0</v>
      </c>
      <c r="H25">
        <f t="shared" si="2"/>
        <v>0</v>
      </c>
      <c r="I25">
        <f t="shared" si="2"/>
        <v>0</v>
      </c>
    </row>
    <row r="26" spans="1:9" ht="15" x14ac:dyDescent="0.35">
      <c r="A26" s="11" t="s">
        <v>25</v>
      </c>
      <c r="C26">
        <f t="shared" ref="C26" si="3">C24+C25</f>
        <v>0</v>
      </c>
      <c r="D26">
        <f>D24+D25</f>
        <v>0</v>
      </c>
      <c r="E26">
        <f t="shared" ref="E26:I26" si="4">E24+E25</f>
        <v>0</v>
      </c>
      <c r="F26">
        <f t="shared" si="4"/>
        <v>0</v>
      </c>
      <c r="G26">
        <f t="shared" si="4"/>
        <v>0</v>
      </c>
      <c r="H26">
        <f t="shared" si="4"/>
        <v>0</v>
      </c>
      <c r="I26">
        <f t="shared" si="4"/>
        <v>0</v>
      </c>
    </row>
    <row r="27" spans="1:9" ht="15" x14ac:dyDescent="0.35">
      <c r="A27" s="11" t="s">
        <v>17</v>
      </c>
      <c r="C27">
        <f>-IF(AND($B$14&lt;=C22,$B$14&gt;B22),$B$17,0)</f>
        <v>0</v>
      </c>
      <c r="D27">
        <f t="shared" ref="D27:I27" si="5">-IF(AND($B$14&lt;=D22,$B$14&gt;C22),$B$17,0)</f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0</v>
      </c>
    </row>
    <row r="28" spans="1:9" ht="15" x14ac:dyDescent="0.35">
      <c r="A28" s="11" t="s">
        <v>29</v>
      </c>
      <c r="C28">
        <f t="shared" ref="C28" si="6">C26+C27</f>
        <v>0</v>
      </c>
      <c r="D28">
        <f>D26+D27</f>
        <v>0</v>
      </c>
      <c r="E28">
        <f t="shared" ref="E28:I28" si="7">E26+E27</f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</row>
    <row r="29" spans="1:9" ht="15" x14ac:dyDescent="0.35">
      <c r="A29" s="11" t="s">
        <v>13</v>
      </c>
      <c r="B29" s="23">
        <v>0.1</v>
      </c>
      <c r="C29">
        <f>-$B$29*C26</f>
        <v>0</v>
      </c>
      <c r="D29">
        <f t="shared" ref="D29:I29" si="8">-$B$29*D26</f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</row>
    <row r="30" spans="1:9" ht="15" x14ac:dyDescent="0.35">
      <c r="A30" s="11" t="s">
        <v>35</v>
      </c>
      <c r="C30">
        <f t="shared" ref="C30" si="9">C28+C29</f>
        <v>0</v>
      </c>
      <c r="D30">
        <f>D28+D29</f>
        <v>0</v>
      </c>
      <c r="E30">
        <f t="shared" ref="E30:I30" si="10">E28+E29</f>
        <v>0</v>
      </c>
      <c r="F30">
        <f t="shared" si="10"/>
        <v>0</v>
      </c>
      <c r="G30">
        <f t="shared" si="10"/>
        <v>0</v>
      </c>
      <c r="H30">
        <f t="shared" si="10"/>
        <v>0</v>
      </c>
      <c r="I30">
        <f t="shared" si="10"/>
        <v>0</v>
      </c>
    </row>
    <row r="31" spans="1:9" ht="15" x14ac:dyDescent="0.35">
      <c r="A31" s="11" t="s">
        <v>34</v>
      </c>
      <c r="C31" s="25">
        <f>IFERROR(C30/C26,0)</f>
        <v>0</v>
      </c>
      <c r="D31" s="25">
        <f t="shared" ref="D31:I31" si="11">IFERROR(D30/D26,0)</f>
        <v>0</v>
      </c>
      <c r="E31" s="25">
        <f t="shared" si="11"/>
        <v>0</v>
      </c>
      <c r="F31" s="25">
        <f t="shared" si="11"/>
        <v>0</v>
      </c>
      <c r="G31" s="25">
        <f t="shared" si="11"/>
        <v>0</v>
      </c>
      <c r="H31" s="25">
        <f t="shared" si="11"/>
        <v>0</v>
      </c>
      <c r="I31" s="25">
        <f t="shared" si="11"/>
        <v>0</v>
      </c>
    </row>
    <row r="32" spans="1:9" ht="15" x14ac:dyDescent="0.35">
      <c r="A32" s="11" t="s">
        <v>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t="15" x14ac:dyDescent="0.35">
      <c r="A33" s="24" t="s">
        <v>30</v>
      </c>
      <c r="B33" s="23">
        <v>0.34</v>
      </c>
      <c r="C33">
        <f t="shared" ref="C33:I33" si="12">-$B$33*C28</f>
        <v>0</v>
      </c>
      <c r="D33">
        <f t="shared" si="12"/>
        <v>0</v>
      </c>
      <c r="E33">
        <f t="shared" si="12"/>
        <v>0</v>
      </c>
      <c r="F33">
        <f t="shared" si="12"/>
        <v>0</v>
      </c>
      <c r="G33">
        <f t="shared" si="12"/>
        <v>0</v>
      </c>
      <c r="H33">
        <f t="shared" si="12"/>
        <v>0</v>
      </c>
      <c r="I33">
        <f t="shared" si="12"/>
        <v>0</v>
      </c>
    </row>
    <row r="34" spans="1:9" x14ac:dyDescent="0.35">
      <c r="A34" s="14" t="s">
        <v>31</v>
      </c>
      <c r="C34">
        <f t="shared" ref="C34:I34" si="13">C28+C33</f>
        <v>0</v>
      </c>
      <c r="D34">
        <f t="shared" si="13"/>
        <v>0</v>
      </c>
      <c r="E34">
        <f t="shared" si="13"/>
        <v>0</v>
      </c>
      <c r="F34">
        <f t="shared" si="13"/>
        <v>0</v>
      </c>
      <c r="G34">
        <f t="shared" si="13"/>
        <v>0</v>
      </c>
      <c r="H34">
        <f t="shared" si="13"/>
        <v>0</v>
      </c>
      <c r="I34">
        <f t="shared" si="13"/>
        <v>0</v>
      </c>
    </row>
    <row r="35" spans="1:9" x14ac:dyDescent="0.35">
      <c r="A35" s="14" t="s">
        <v>32</v>
      </c>
      <c r="C35" s="25">
        <f t="shared" ref="C35:I35" si="14">IFERROR(C34/C26,0)</f>
        <v>0</v>
      </c>
      <c r="D35" s="25">
        <f t="shared" si="14"/>
        <v>0</v>
      </c>
      <c r="E35" s="25">
        <f t="shared" si="14"/>
        <v>0</v>
      </c>
      <c r="F35" s="25">
        <f t="shared" si="14"/>
        <v>0</v>
      </c>
      <c r="G35" s="25">
        <f t="shared" si="14"/>
        <v>0</v>
      </c>
      <c r="H35" s="25">
        <f t="shared" si="14"/>
        <v>0</v>
      </c>
      <c r="I35" s="25">
        <f t="shared" si="14"/>
        <v>0</v>
      </c>
    </row>
    <row r="36" spans="1:9" x14ac:dyDescent="0.35">
      <c r="A36" s="14"/>
      <c r="C36" s="25"/>
      <c r="D36" s="25"/>
      <c r="E36" s="25"/>
      <c r="F36" s="25"/>
      <c r="G36" s="25"/>
      <c r="H36" s="25"/>
      <c r="I36" s="25"/>
    </row>
    <row r="37" spans="1:9" ht="24" customHeight="1" x14ac:dyDescent="0.35">
      <c r="A37" s="14" t="s">
        <v>26</v>
      </c>
      <c r="B37" s="15"/>
      <c r="C37" s="16">
        <f>C34</f>
        <v>0</v>
      </c>
      <c r="D37" s="16">
        <f t="shared" ref="D37:I37" si="15">D34</f>
        <v>0</v>
      </c>
      <c r="E37" s="16">
        <f t="shared" si="15"/>
        <v>0</v>
      </c>
      <c r="F37" s="16">
        <f t="shared" si="15"/>
        <v>0</v>
      </c>
      <c r="G37" s="16">
        <f t="shared" si="15"/>
        <v>0</v>
      </c>
      <c r="H37" s="16">
        <f t="shared" si="15"/>
        <v>0</v>
      </c>
      <c r="I37" s="16">
        <f t="shared" si="15"/>
        <v>0</v>
      </c>
    </row>
    <row r="38" spans="1:9" x14ac:dyDescent="0.35">
      <c r="A38" s="17" t="s">
        <v>14</v>
      </c>
      <c r="B38" s="18"/>
      <c r="C38" s="19">
        <f t="shared" ref="C38:I38" si="16">(1+$B$4)^C$21</f>
        <v>1</v>
      </c>
      <c r="D38" s="19">
        <f t="shared" si="16"/>
        <v>1.0141743954848821</v>
      </c>
      <c r="E38" s="19">
        <f t="shared" si="16"/>
        <v>1.0285497044571261</v>
      </c>
      <c r="F38" s="19">
        <f t="shared" si="16"/>
        <v>1.0431287747439599</v>
      </c>
      <c r="G38" s="19">
        <f t="shared" si="16"/>
        <v>1.0579144945388415</v>
      </c>
      <c r="H38" s="19">
        <f t="shared" si="16"/>
        <v>1.0729097929736242</v>
      </c>
      <c r="I38" s="19">
        <f t="shared" si="16"/>
        <v>1.0881176406988353</v>
      </c>
    </row>
    <row r="39" spans="1:9" x14ac:dyDescent="0.35">
      <c r="A39" s="20" t="s">
        <v>27</v>
      </c>
      <c r="B39" s="21"/>
      <c r="C39" s="21">
        <f>C37/C38</f>
        <v>0</v>
      </c>
      <c r="D39" s="22">
        <f t="shared" ref="D39:I39" si="17">D37/D38</f>
        <v>0</v>
      </c>
      <c r="E39" s="22">
        <f t="shared" si="17"/>
        <v>0</v>
      </c>
      <c r="F39" s="22">
        <f t="shared" si="17"/>
        <v>0</v>
      </c>
      <c r="G39" s="22">
        <f t="shared" si="17"/>
        <v>0</v>
      </c>
      <c r="H39" s="22">
        <f t="shared" si="17"/>
        <v>0</v>
      </c>
      <c r="I39" s="22">
        <f t="shared" si="17"/>
        <v>0</v>
      </c>
    </row>
  </sheetData>
  <phoneticPr fontId="6" type="noConversion"/>
  <conditionalFormatting sqref="B8">
    <cfRule type="cellIs" dxfId="2" priority="6" stopIfTrue="1" operator="lessThan">
      <formula>0.1</formula>
    </cfRule>
  </conditionalFormatting>
  <conditionalFormatting sqref="B10:B13">
    <cfRule type="cellIs" dxfId="1" priority="1" stopIfTrue="1" operator="lessThan">
      <formula>0</formula>
    </cfRule>
  </conditionalFormatting>
  <conditionalFormatting sqref="B12:B13">
    <cfRule type="cellIs" dxfId="0" priority="2" stopIfTrue="1" operator="lessThan">
      <formula>0.1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Baptista De Souza</dc:creator>
  <cp:lastModifiedBy>Fabio Baptista De Souza</cp:lastModifiedBy>
  <dcterms:created xsi:type="dcterms:W3CDTF">2025-11-03T19:06:16Z</dcterms:created>
  <dcterms:modified xsi:type="dcterms:W3CDTF">2025-11-04T00:10:15Z</dcterms:modified>
</cp:coreProperties>
</file>